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\Downloads\"/>
    </mc:Choice>
  </mc:AlternateContent>
  <xr:revisionPtr revIDLastSave="0" documentId="8_{9085CF6F-24A6-44DF-8ACA-51E76A98D20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工作表1" sheetId="1" r:id="rId1"/>
    <sheet name="工作表2" sheetId="2" r:id="rId2"/>
    <sheet name="工作表4" sheetId="4" r:id="rId3"/>
    <sheet name="工作表3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C24" i="1" l="1"/>
  <c r="B24" i="1"/>
  <c r="C23" i="1"/>
  <c r="B23" i="1"/>
</calcChain>
</file>

<file path=xl/sharedStrings.xml><?xml version="1.0" encoding="utf-8"?>
<sst xmlns="http://schemas.openxmlformats.org/spreadsheetml/2006/main" count="49" uniqueCount="14">
  <si>
    <t>大盤</t>
    <phoneticPr fontId="1" type="noConversion"/>
  </si>
  <si>
    <t>漲跌幅</t>
    <phoneticPr fontId="1" type="noConversion"/>
  </si>
  <si>
    <t>鴻海個股</t>
    <phoneticPr fontId="1" type="noConversion"/>
  </si>
  <si>
    <t>日期</t>
    <phoneticPr fontId="1" type="noConversion"/>
  </si>
  <si>
    <t xml:space="preserve">                </t>
    <phoneticPr fontId="1" type="noConversion"/>
  </si>
  <si>
    <t>平均值</t>
    <phoneticPr fontId="1" type="noConversion"/>
  </si>
  <si>
    <t>*</t>
  </si>
  <si>
    <t>用VBA計算漲跌幅</t>
    <phoneticPr fontId="1" type="noConversion"/>
  </si>
  <si>
    <t>最高</t>
    <phoneticPr fontId="1" type="noConversion"/>
  </si>
  <si>
    <t>*</t>
    <phoneticPr fontId="1" type="noConversion"/>
  </si>
  <si>
    <t>用Do LoopVBA計算</t>
    <phoneticPr fontId="1" type="noConversion"/>
  </si>
  <si>
    <t>用VBA找最大值</t>
  </si>
  <si>
    <t>用VBA找最大值</t>
    <phoneticPr fontId="1" type="noConversion"/>
  </si>
  <si>
    <t xml:space="preserve"> 錯誤 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</si>
</sst>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0"/>
  </numFmts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4"/>
      <color theme="1"/>
      <name val="標楷體"/>
      <family val="4"/>
      <charset val="136"/>
    </font>
    <font>
      <sz val="14"/>
      <color rgb="FF0000FF"/>
      <name val="標楷體"/>
      <family val="4"/>
      <charset val="136"/>
    </font>
    <font>
      <sz val="14"/>
      <color rgb="FF003232"/>
      <name val="標楷體"/>
      <family val="4"/>
      <charset val="136"/>
    </font>
    <font>
      <sz val="14"/>
      <color rgb="FF050A50"/>
      <name val="標楷體"/>
      <family val="4"/>
      <charset val="136"/>
    </font>
    <font>
      <sz val="14"/>
      <color rgb="FFFF0032"/>
      <name val="標楷體"/>
      <family val="4"/>
      <charset val="136"/>
    </font>
    <font>
      <sz val="14"/>
      <color rgb="FF32C832"/>
      <name val="標楷體"/>
      <family val="4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0" borderId="1" xfId="0" applyNumberFormat="1" applyFill="1" applyBorder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80425862260176"/>
          <c:y val="4.5548592140268178E-2"/>
          <c:w val="0.84608406343573261"/>
          <c:h val="0.70402521113432237"/>
        </c:manualLayout>
      </c:layout>
      <c:lineChart>
        <c:grouping val="standard"/>
        <c:varyColors val="0"/>
        <c:ser>
          <c:idx val="0"/>
          <c:order val="0"/>
          <c:tx>
            <c:strRef>
              <c:f>工作表1!$B$1</c:f>
              <c:strCache>
                <c:ptCount val="1"/>
                <c:pt idx="0">
                  <c:v>鴻海個股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工作表1!$A$2:$A$20</c:f>
              <c:numCache>
                <c:formatCode>m/d/yyyy</c:formatCode>
                <c:ptCount val="19"/>
                <c:pt idx="0">
                  <c:v>43867</c:v>
                </c:pt>
                <c:pt idx="1">
                  <c:v>43868</c:v>
                </c:pt>
                <c:pt idx="2">
                  <c:v>43871</c:v>
                </c:pt>
                <c:pt idx="3">
                  <c:v>43872</c:v>
                </c:pt>
                <c:pt idx="4">
                  <c:v>43873</c:v>
                </c:pt>
                <c:pt idx="5">
                  <c:v>43874</c:v>
                </c:pt>
                <c:pt idx="6">
                  <c:v>43875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43885</c:v>
                </c:pt>
                <c:pt idx="13">
                  <c:v>43886</c:v>
                </c:pt>
                <c:pt idx="14">
                  <c:v>43887</c:v>
                </c:pt>
                <c:pt idx="15">
                  <c:v>43888</c:v>
                </c:pt>
                <c:pt idx="16">
                  <c:v>43892</c:v>
                </c:pt>
                <c:pt idx="17">
                  <c:v>43893</c:v>
                </c:pt>
                <c:pt idx="18">
                  <c:v>43894</c:v>
                </c:pt>
              </c:numCache>
            </c:numRef>
          </c:cat>
          <c:val>
            <c:numRef>
              <c:f>工作表1!$B$2:$B$20</c:f>
              <c:numCache>
                <c:formatCode>General</c:formatCode>
                <c:ptCount val="19"/>
                <c:pt idx="0">
                  <c:v>83.6</c:v>
                </c:pt>
                <c:pt idx="1">
                  <c:v>82.9</c:v>
                </c:pt>
                <c:pt idx="2" formatCode="0.0">
                  <c:v>82</c:v>
                </c:pt>
                <c:pt idx="3">
                  <c:v>82.9</c:v>
                </c:pt>
                <c:pt idx="4">
                  <c:v>85.5</c:v>
                </c:pt>
                <c:pt idx="5">
                  <c:v>22</c:v>
                </c:pt>
                <c:pt idx="6">
                  <c:v>7</c:v>
                </c:pt>
                <c:pt idx="7">
                  <c:v>83.9</c:v>
                </c:pt>
                <c:pt idx="8">
                  <c:v>83.4</c:v>
                </c:pt>
                <c:pt idx="9">
                  <c:v>83.8</c:v>
                </c:pt>
                <c:pt idx="10">
                  <c:v>82.8</c:v>
                </c:pt>
                <c:pt idx="11">
                  <c:v>81.7</c:v>
                </c:pt>
                <c:pt idx="12">
                  <c:v>80.7</c:v>
                </c:pt>
                <c:pt idx="13">
                  <c:v>82.3</c:v>
                </c:pt>
                <c:pt idx="14">
                  <c:v>81.099999999999994</c:v>
                </c:pt>
                <c:pt idx="15">
                  <c:v>80.3</c:v>
                </c:pt>
                <c:pt idx="16">
                  <c:v>79.2</c:v>
                </c:pt>
                <c:pt idx="17">
                  <c:v>81</c:v>
                </c:pt>
                <c:pt idx="18">
                  <c:v>81.7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1-42A2-BCAD-D50C9202A0F5}"/>
            </c:ext>
          </c:extLst>
        </c:ser>
        <c:ser>
          <c:idx val="1"/>
          <c:order val="1"/>
          <c:tx>
            <c:strRef>
              <c:f>工作表1!$C$1</c:f>
              <c:strCache>
                <c:ptCount val="1"/>
                <c:pt idx="0">
                  <c:v>大盤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工作表1!$A$2:$A$20</c:f>
              <c:numCache>
                <c:formatCode>m/d/yyyy</c:formatCode>
                <c:ptCount val="19"/>
                <c:pt idx="0">
                  <c:v>43867</c:v>
                </c:pt>
                <c:pt idx="1">
                  <c:v>43868</c:v>
                </c:pt>
                <c:pt idx="2">
                  <c:v>43871</c:v>
                </c:pt>
                <c:pt idx="3">
                  <c:v>43872</c:v>
                </c:pt>
                <c:pt idx="4">
                  <c:v>43873</c:v>
                </c:pt>
                <c:pt idx="5">
                  <c:v>43874</c:v>
                </c:pt>
                <c:pt idx="6">
                  <c:v>43875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43885</c:v>
                </c:pt>
                <c:pt idx="13">
                  <c:v>43886</c:v>
                </c:pt>
                <c:pt idx="14">
                  <c:v>43887</c:v>
                </c:pt>
                <c:pt idx="15">
                  <c:v>43888</c:v>
                </c:pt>
                <c:pt idx="16">
                  <c:v>43892</c:v>
                </c:pt>
                <c:pt idx="17">
                  <c:v>43893</c:v>
                </c:pt>
                <c:pt idx="18">
                  <c:v>43894</c:v>
                </c:pt>
              </c:numCache>
            </c:numRef>
          </c:cat>
          <c:val>
            <c:numRef>
              <c:f>工作表1!$C$2:$C$20</c:f>
              <c:numCache>
                <c:formatCode>0.0</c:formatCode>
                <c:ptCount val="19"/>
                <c:pt idx="0">
                  <c:v>11749.68</c:v>
                </c:pt>
                <c:pt idx="1">
                  <c:v>11612.81</c:v>
                </c:pt>
                <c:pt idx="2">
                  <c:v>11574.07</c:v>
                </c:pt>
                <c:pt idx="3">
                  <c:v>11664.06</c:v>
                </c:pt>
                <c:pt idx="4">
                  <c:v>11774.19</c:v>
                </c:pt>
                <c:pt idx="5">
                  <c:v>11791.78</c:v>
                </c:pt>
                <c:pt idx="6">
                  <c:v>11815.7</c:v>
                </c:pt>
                <c:pt idx="7">
                  <c:v>11763.51</c:v>
                </c:pt>
                <c:pt idx="8">
                  <c:v>11648.98</c:v>
                </c:pt>
                <c:pt idx="9">
                  <c:v>11758.84</c:v>
                </c:pt>
                <c:pt idx="10">
                  <c:v>11725.09</c:v>
                </c:pt>
                <c:pt idx="11">
                  <c:v>11686.35</c:v>
                </c:pt>
                <c:pt idx="12">
                  <c:v>11534.84</c:v>
                </c:pt>
                <c:pt idx="13">
                  <c:v>11540.23</c:v>
                </c:pt>
                <c:pt idx="14">
                  <c:v>11433.65</c:v>
                </c:pt>
                <c:pt idx="15">
                  <c:v>11292.17</c:v>
                </c:pt>
                <c:pt idx="16">
                  <c:v>11170.46</c:v>
                </c:pt>
                <c:pt idx="17">
                  <c:v>11327.72</c:v>
                </c:pt>
                <c:pt idx="18">
                  <c:v>11392.35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1-42A2-BCAD-D50C9202A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435760"/>
        <c:axId val="742436176"/>
      </c:lineChart>
      <c:dateAx>
        <c:axId val="7424357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42436176"/>
        <c:crosses val="autoZero"/>
        <c:auto val="1"/>
        <c:lblOffset val="100"/>
        <c:baseTimeUnit val="days"/>
      </c:dateAx>
      <c:valAx>
        <c:axId val="74243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4243576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30413539856813671"/>
          <c:y val="0.91942828574999558"/>
          <c:w val="0.38309859154929576"/>
          <c:h val="7.65311478922277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17974903911747"/>
          <c:y val="0.10765683552594553"/>
          <c:w val="0.83384226660918714"/>
          <c:h val="0.67638287331874136"/>
        </c:manualLayout>
      </c:layout>
      <c:scatterChart>
        <c:scatterStyle val="lineMarker"/>
        <c:varyColors val="0"/>
        <c:ser>
          <c:idx val="0"/>
          <c:order val="0"/>
          <c:tx>
            <c:strRef>
              <c:f>工作表1!$C$1</c:f>
              <c:strCache>
                <c:ptCount val="1"/>
                <c:pt idx="0">
                  <c:v>大盤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工作表1!$B$2:$B$20</c:f>
              <c:numCache>
                <c:formatCode>General</c:formatCode>
                <c:ptCount val="19"/>
                <c:pt idx="0">
                  <c:v>83.6</c:v>
                </c:pt>
                <c:pt idx="1">
                  <c:v>82.9</c:v>
                </c:pt>
                <c:pt idx="2" formatCode="0.0">
                  <c:v>82</c:v>
                </c:pt>
                <c:pt idx="3">
                  <c:v>82.9</c:v>
                </c:pt>
                <c:pt idx="4">
                  <c:v>85.5</c:v>
                </c:pt>
                <c:pt idx="5">
                  <c:v>22</c:v>
                </c:pt>
                <c:pt idx="6">
                  <c:v>7</c:v>
                </c:pt>
                <c:pt idx="7">
                  <c:v>83.9</c:v>
                </c:pt>
                <c:pt idx="8">
                  <c:v>83.4</c:v>
                </c:pt>
                <c:pt idx="9">
                  <c:v>83.8</c:v>
                </c:pt>
                <c:pt idx="10">
                  <c:v>82.8</c:v>
                </c:pt>
                <c:pt idx="11">
                  <c:v>81.7</c:v>
                </c:pt>
                <c:pt idx="12">
                  <c:v>80.7</c:v>
                </c:pt>
                <c:pt idx="13">
                  <c:v>82.3</c:v>
                </c:pt>
                <c:pt idx="14">
                  <c:v>81.099999999999994</c:v>
                </c:pt>
                <c:pt idx="15">
                  <c:v>80.3</c:v>
                </c:pt>
                <c:pt idx="16">
                  <c:v>79.2</c:v>
                </c:pt>
                <c:pt idx="17">
                  <c:v>81</c:v>
                </c:pt>
                <c:pt idx="18">
                  <c:v>81.7</c:v>
                </c:pt>
              </c:numCache>
            </c:numRef>
          </c:xVal>
          <c:yVal>
            <c:numRef>
              <c:f>工作表1!$C$2:$C$20</c:f>
              <c:numCache>
                <c:formatCode>0.0</c:formatCode>
                <c:ptCount val="19"/>
                <c:pt idx="0">
                  <c:v>11749.68</c:v>
                </c:pt>
                <c:pt idx="1">
                  <c:v>11612.81</c:v>
                </c:pt>
                <c:pt idx="2">
                  <c:v>11574.07</c:v>
                </c:pt>
                <c:pt idx="3">
                  <c:v>11664.06</c:v>
                </c:pt>
                <c:pt idx="4">
                  <c:v>11774.19</c:v>
                </c:pt>
                <c:pt idx="5">
                  <c:v>11791.78</c:v>
                </c:pt>
                <c:pt idx="6">
                  <c:v>11815.7</c:v>
                </c:pt>
                <c:pt idx="7">
                  <c:v>11763.51</c:v>
                </c:pt>
                <c:pt idx="8">
                  <c:v>11648.98</c:v>
                </c:pt>
                <c:pt idx="9">
                  <c:v>11758.84</c:v>
                </c:pt>
                <c:pt idx="10">
                  <c:v>11725.09</c:v>
                </c:pt>
                <c:pt idx="11">
                  <c:v>11686.35</c:v>
                </c:pt>
                <c:pt idx="12">
                  <c:v>11534.84</c:v>
                </c:pt>
                <c:pt idx="13">
                  <c:v>11540.23</c:v>
                </c:pt>
                <c:pt idx="14">
                  <c:v>11433.65</c:v>
                </c:pt>
                <c:pt idx="15">
                  <c:v>11292.17</c:v>
                </c:pt>
                <c:pt idx="16">
                  <c:v>11170.46</c:v>
                </c:pt>
                <c:pt idx="17">
                  <c:v>11327.72</c:v>
                </c:pt>
                <c:pt idx="18">
                  <c:v>11392.35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0-4B0E-ACF1-C010BEEE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761952"/>
        <c:axId val="755762368"/>
      </c:scatterChart>
      <c:valAx>
        <c:axId val="75576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>
                    <a:solidFill>
                      <a:schemeClr val="tx1"/>
                    </a:solidFill>
                  </a:rPr>
                  <a:t>鴻海個股</a:t>
                </a:r>
              </a:p>
            </c:rich>
          </c:tx>
          <c:overlay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55762368"/>
        <c:crosses val="autoZero"/>
        <c:crossBetween val="midCat"/>
      </c:valAx>
      <c:valAx>
        <c:axId val="7557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>
                    <a:solidFill>
                      <a:schemeClr val="tx1"/>
                    </a:solidFill>
                  </a:rPr>
                  <a:t>台灣加權指數</a:t>
                </a:r>
              </a:p>
            </c:rich>
          </c:tx>
          <c:overlay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5576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676275</xdr:colOff>
      <xdr:row>7</xdr:row>
      <xdr:rowOff>114300</xdr:rowOff>
    </xdr:from>
    <xdr:to>
      <xdr:col>19</xdr:col>
      <xdr:colOff>619125</xdr:colOff>
      <xdr:row>16</xdr:row>
      <xdr:rowOff>85725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195261</xdr:colOff>
      <xdr:row>0</xdr:row>
      <xdr:rowOff>285749</xdr:rowOff>
    </xdr:from>
    <xdr:to>
      <xdr:col>12</xdr:col>
      <xdr:colOff>228600</xdr:colOff>
      <xdr:row>6</xdr:row>
      <xdr:rowOff>76199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</xdr:row>
          <xdr:rowOff>180975</xdr:rowOff>
        </xdr:from>
        <xdr:to>
          <xdr:col>5</xdr:col>
          <xdr:colOff>0</xdr:colOff>
          <xdr:row>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運算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28"/>
  <sheetViews>
    <sheetView tabSelected="1" workbookViewId="0">
      <selection activeCell="F5" sqref="F5"/>
    </sheetView>
  </sheetViews>
  <sheetFormatPr defaultRowHeight="16.5" x14ac:dyDescent="0.25"/>
  <cols>
    <col min="1" max="1" width="17" customWidth="1"/>
    <col min="2" max="4" width="12.625" customWidth="1"/>
    <col min="5" max="5" width="26.25" customWidth="1"/>
  </cols>
  <sheetData>
    <row r="1" spans="1:15" ht="52.5" customHeight="1" thickBot="1" x14ac:dyDescent="0.3">
      <c r="A1" s="7" t="s">
        <v>3</v>
      </c>
      <c r="B1" s="7" t="s">
        <v>2</v>
      </c>
      <c r="C1" s="7" t="s">
        <v>0</v>
      </c>
      <c r="D1" s="7" t="s">
        <v>1</v>
      </c>
      <c r="E1" s="10" t="s">
        <v>7</v>
      </c>
    </row>
    <row r="2" spans="1:15" ht="24.95" customHeight="1" thickBot="1" x14ac:dyDescent="0.3">
      <c r="A2" s="2">
        <v>43867</v>
      </c>
      <c r="B2" s="1">
        <v>83.6</v>
      </c>
      <c r="C2" s="4">
        <v>11749.68</v>
      </c>
      <c r="E2" s="10">
        <v>0</v>
      </c>
    </row>
    <row r="3" spans="1:15" ht="24.95" customHeight="1" thickBot="1" x14ac:dyDescent="0.3">
      <c r="A3" s="2">
        <v>43868</v>
      </c>
      <c r="B3" s="1">
        <v>82.9</v>
      </c>
      <c r="C3" s="4">
        <v>11612.81</v>
      </c>
      <c r="D3" s="8">
        <f>(C3-C2)/C2</f>
        <v>-1.1648827882972199E-2</v>
      </c>
      <c r="E3" s="10">
        <v>-1.1648800000000001E-2</v>
      </c>
    </row>
    <row r="4" spans="1:15" ht="24.95" customHeight="1" thickBot="1" x14ac:dyDescent="0.3">
      <c r="A4" s="2">
        <v>43871</v>
      </c>
      <c r="B4" s="4">
        <v>82</v>
      </c>
      <c r="C4" s="4">
        <v>11574.07</v>
      </c>
      <c r="D4" s="8">
        <f t="shared" ref="D4:D21" si="0">(C4-C3)/C3</f>
        <v>-3.3359712248800921E-3</v>
      </c>
      <c r="E4" s="10">
        <v>-3.336E-3</v>
      </c>
    </row>
    <row r="5" spans="1:15" ht="24.95" customHeight="1" thickBot="1" x14ac:dyDescent="0.3">
      <c r="A5" s="2">
        <v>43872</v>
      </c>
      <c r="B5" s="1">
        <v>82.9</v>
      </c>
      <c r="C5" s="4">
        <v>11664.06</v>
      </c>
      <c r="D5" s="8">
        <f t="shared" si="0"/>
        <v>7.7751387368488164E-3</v>
      </c>
      <c r="E5" s="10">
        <v>7.7751000000000001E-3</v>
      </c>
    </row>
    <row r="6" spans="1:15" ht="24.95" customHeight="1" thickBot="1" x14ac:dyDescent="0.3">
      <c r="A6" s="2">
        <v>43873</v>
      </c>
      <c r="B6" s="1">
        <v>85.5</v>
      </c>
      <c r="C6" s="4">
        <v>11774.19</v>
      </c>
      <c r="D6" s="8">
        <f t="shared" si="0"/>
        <v>9.4418238589308538E-3</v>
      </c>
      <c r="E6" s="10">
        <v>9.4418000000000002E-3</v>
      </c>
    </row>
    <row r="7" spans="1:15" ht="24.95" customHeight="1" thickBot="1" x14ac:dyDescent="0.3">
      <c r="A7" s="2">
        <v>43874</v>
      </c>
      <c r="B7" s="1">
        <v>22</v>
      </c>
      <c r="C7" s="4">
        <v>11791.78</v>
      </c>
      <c r="D7" s="8">
        <f t="shared" si="0"/>
        <v>1.4939456557096619E-3</v>
      </c>
      <c r="E7" s="10">
        <v>1.4939E-3</v>
      </c>
    </row>
    <row r="8" spans="1:15" ht="24.95" customHeight="1" thickBot="1" x14ac:dyDescent="0.3">
      <c r="A8" s="2">
        <v>43875</v>
      </c>
      <c r="B8" s="1">
        <v>7</v>
      </c>
      <c r="C8" s="4">
        <v>11815.7</v>
      </c>
      <c r="D8" s="8">
        <f t="shared" si="0"/>
        <v>2.0285317399069583E-3</v>
      </c>
      <c r="E8" s="10">
        <v>2.0284999999999999E-3</v>
      </c>
    </row>
    <row r="9" spans="1:15" ht="24.95" customHeight="1" thickBot="1" x14ac:dyDescent="0.3">
      <c r="A9" s="2">
        <v>43878</v>
      </c>
      <c r="B9" s="1">
        <v>83.9</v>
      </c>
      <c r="C9" s="4">
        <v>11763.51</v>
      </c>
      <c r="D9" s="8">
        <f t="shared" si="0"/>
        <v>-4.4170044940207102E-3</v>
      </c>
      <c r="E9" s="10">
        <v>-4.4169999999999999E-3</v>
      </c>
    </row>
    <row r="10" spans="1:15" ht="24.95" customHeight="1" thickBot="1" x14ac:dyDescent="0.3">
      <c r="A10" s="2">
        <v>43879</v>
      </c>
      <c r="B10" s="1">
        <v>83.4</v>
      </c>
      <c r="C10" s="4">
        <v>11648.98</v>
      </c>
      <c r="D10" s="8">
        <f t="shared" si="0"/>
        <v>-9.7360396684323513E-3</v>
      </c>
      <c r="E10" s="10">
        <v>-9.7359999999999999E-3</v>
      </c>
    </row>
    <row r="11" spans="1:15" ht="24.95" customHeight="1" thickBot="1" x14ac:dyDescent="0.3">
      <c r="A11" s="2">
        <v>43880</v>
      </c>
      <c r="B11" s="1">
        <v>83.8</v>
      </c>
      <c r="C11" s="4">
        <v>11758.84</v>
      </c>
      <c r="D11" s="8">
        <f t="shared" si="0"/>
        <v>9.4308686254075975E-3</v>
      </c>
      <c r="E11" s="10">
        <v>9.4309000000000007E-3</v>
      </c>
    </row>
    <row r="12" spans="1:15" ht="24.95" customHeight="1" thickBot="1" x14ac:dyDescent="0.3">
      <c r="A12" s="2">
        <v>43881</v>
      </c>
      <c r="B12" s="1">
        <v>82.8</v>
      </c>
      <c r="C12" s="4">
        <v>11725.09</v>
      </c>
      <c r="D12" s="8">
        <f t="shared" si="0"/>
        <v>-2.8701810722826402E-3</v>
      </c>
      <c r="E12" s="10">
        <v>-2.8701999999999998E-3</v>
      </c>
    </row>
    <row r="13" spans="1:15" ht="24.95" customHeight="1" thickBot="1" x14ac:dyDescent="0.3">
      <c r="A13" s="2">
        <v>43882</v>
      </c>
      <c r="B13" s="1">
        <v>81.7</v>
      </c>
      <c r="C13" s="4">
        <v>11686.35</v>
      </c>
      <c r="D13" s="8">
        <f t="shared" si="0"/>
        <v>-3.3040258113157155E-3</v>
      </c>
      <c r="E13" s="10">
        <v>-3.3040000000000001E-3</v>
      </c>
    </row>
    <row r="14" spans="1:15" ht="24.95" customHeight="1" thickBot="1" x14ac:dyDescent="0.3">
      <c r="A14" s="2">
        <v>43885</v>
      </c>
      <c r="B14" s="1">
        <v>80.7</v>
      </c>
      <c r="C14" s="4">
        <v>11534.84</v>
      </c>
      <c r="D14" s="8">
        <f t="shared" si="0"/>
        <v>-1.2964698130725181E-2</v>
      </c>
      <c r="E14" s="10">
        <v>-1.2964699999999999E-2</v>
      </c>
      <c r="O14" t="s">
        <v>4</v>
      </c>
    </row>
    <row r="15" spans="1:15" ht="24.95" customHeight="1" thickBot="1" x14ac:dyDescent="0.3">
      <c r="A15" s="2">
        <v>43886</v>
      </c>
      <c r="B15" s="1">
        <v>82.3</v>
      </c>
      <c r="C15" s="4">
        <v>11540.23</v>
      </c>
      <c r="D15" s="8">
        <f t="shared" si="0"/>
        <v>4.6727999694832508E-4</v>
      </c>
      <c r="E15" s="10">
        <v>4.6729999999999997E-4</v>
      </c>
    </row>
    <row r="16" spans="1:15" ht="24.95" customHeight="1" thickBot="1" x14ac:dyDescent="0.3">
      <c r="A16" s="2">
        <v>43887</v>
      </c>
      <c r="B16" s="1">
        <v>81.099999999999994</v>
      </c>
      <c r="C16" s="4">
        <v>11433.65</v>
      </c>
      <c r="D16" s="8">
        <f t="shared" si="0"/>
        <v>-9.2355178362996167E-3</v>
      </c>
      <c r="E16" s="10">
        <v>-9.2355000000000007E-3</v>
      </c>
    </row>
    <row r="17" spans="1:5" ht="24.95" customHeight="1" thickBot="1" x14ac:dyDescent="0.3">
      <c r="A17" s="2">
        <v>43888</v>
      </c>
      <c r="B17" s="1">
        <v>80.3</v>
      </c>
      <c r="C17" s="4">
        <v>11292.17</v>
      </c>
      <c r="D17" s="8">
        <f t="shared" si="0"/>
        <v>-1.2374001303170866E-2</v>
      </c>
      <c r="E17" s="10">
        <v>-1.2374E-2</v>
      </c>
    </row>
    <row r="18" spans="1:5" ht="24.95" customHeight="1" thickBot="1" x14ac:dyDescent="0.3">
      <c r="A18" s="2">
        <v>43892</v>
      </c>
      <c r="B18" s="1">
        <v>79.2</v>
      </c>
      <c r="C18" s="4">
        <v>11170.46</v>
      </c>
      <c r="D18" s="8">
        <f t="shared" si="0"/>
        <v>-1.0778264939334153E-2</v>
      </c>
      <c r="E18" s="10">
        <v>-1.0778299999999999E-2</v>
      </c>
    </row>
    <row r="19" spans="1:5" ht="24.95" customHeight="1" thickBot="1" x14ac:dyDescent="0.3">
      <c r="A19" s="2">
        <v>43893</v>
      </c>
      <c r="B19" s="1">
        <v>81</v>
      </c>
      <c r="C19" s="4">
        <v>11327.72</v>
      </c>
      <c r="D19" s="8">
        <f t="shared" si="0"/>
        <v>1.4078202688161475E-2</v>
      </c>
      <c r="E19" s="10">
        <v>1.4078200000000001E-2</v>
      </c>
    </row>
    <row r="20" spans="1:5" ht="24.95" customHeight="1" thickBot="1" x14ac:dyDescent="0.3">
      <c r="A20" s="2">
        <v>43894</v>
      </c>
      <c r="B20" s="1">
        <v>81.7</v>
      </c>
      <c r="C20" s="4">
        <v>11392.35</v>
      </c>
      <c r="D20" s="8">
        <f t="shared" si="0"/>
        <v>5.7054729460121736E-3</v>
      </c>
      <c r="E20" s="10">
        <v>5.7054999999999996E-3</v>
      </c>
    </row>
    <row r="21" spans="1:5" ht="20.25" thickBot="1" x14ac:dyDescent="0.3">
      <c r="A21" s="2">
        <v>43895</v>
      </c>
      <c r="B21" s="3">
        <v>82.7</v>
      </c>
      <c r="C21" s="5">
        <v>11514.82</v>
      </c>
      <c r="D21" s="8">
        <f t="shared" si="0"/>
        <v>1.0750196403727005E-2</v>
      </c>
      <c r="E21" s="10">
        <v>1.07502E-2</v>
      </c>
    </row>
    <row r="22" spans="1:5" ht="36.75" customHeight="1" x14ac:dyDescent="0.25">
      <c r="B22" t="s">
        <v>9</v>
      </c>
    </row>
    <row r="23" spans="1:5" ht="28.5" customHeight="1" x14ac:dyDescent="0.25">
      <c r="A23" t="s">
        <v>5</v>
      </c>
      <c r="B23">
        <f>AVERAGE(B2:B21)</f>
        <v>75.525000000000006</v>
      </c>
      <c r="C23" s="6">
        <f>AVERAGE(C2:C21)</f>
        <v>11588.564999999999</v>
      </c>
    </row>
    <row r="24" spans="1:5" x14ac:dyDescent="0.25">
      <c r="A24" t="s">
        <v>8</v>
      </c>
      <c r="B24">
        <f>MAX(B2:B21)</f>
        <v>85.5</v>
      </c>
      <c r="C24">
        <f>MAX(C2:C21)</f>
        <v>11815.7</v>
      </c>
    </row>
    <row r="25" spans="1:5" ht="19.5" x14ac:dyDescent="0.25">
      <c r="A25" s="11">
        <v>75.525000000000006</v>
      </c>
      <c r="B25" s="9"/>
    </row>
    <row r="26" spans="1:5" ht="43.5" customHeight="1" x14ac:dyDescent="0.25">
      <c r="A26" s="12" t="s">
        <v>10</v>
      </c>
      <c r="B26" s="12">
        <v>75.525000000000006</v>
      </c>
    </row>
    <row r="27" spans="1:5" ht="19.5" x14ac:dyDescent="0.25">
      <c r="A27" s="13" t="s">
        <v>12</v>
      </c>
      <c r="C27" s="13">
        <v>11815.7</v>
      </c>
    </row>
    <row r="28" spans="1:5" ht="19.5" x14ac:dyDescent="0.25">
      <c r="A28" s="14" t="s">
        <v>11</v>
      </c>
      <c r="B28" s="14">
        <v>85.5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2:C2"/>
  <sheetViews>
    <sheetView workbookViewId="0">
      <selection activeCell="E8" sqref="E8"/>
    </sheetView>
  </sheetViews>
  <sheetFormatPr defaultRowHeight="16.5" x14ac:dyDescent="0.25"/>
  <sheetData>
    <row r="2" spans="1:3" x14ac:dyDescent="0.25">
      <c r="A2">
        <v>2</v>
      </c>
      <c r="B2">
        <v>100</v>
      </c>
      <c r="C2">
        <v>273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rcise">
                <anchor moveWithCells="1" sizeWithCells="1">
                  <from>
                    <xdr:col>3</xdr:col>
                    <xdr:colOff>457200</xdr:colOff>
                    <xdr:row>1</xdr:row>
                    <xdr:rowOff>180975</xdr:rowOff>
                  </from>
                  <to>
                    <xdr:col>5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11337-F973-4BDB-9638-0285AE1A6827}">
  <sheetPr codeName="工作表4"/>
  <dimension ref="A1:B25"/>
  <sheetViews>
    <sheetView zoomScale="130" zoomScaleNormal="130" workbookViewId="0">
      <selection activeCell="A2" sqref="A2"/>
    </sheetView>
  </sheetViews>
  <sheetFormatPr defaultRowHeight="16.5" x14ac:dyDescent="0.25"/>
  <sheetData>
    <row r="1" spans="1:1" x14ac:dyDescent="0.25">
      <c r="A1">
        <v>30</v>
      </c>
    </row>
    <row r="2" spans="1:1" x14ac:dyDescent="0.25">
      <c r="A2" t="s">
        <v>13</v>
      </c>
    </row>
    <row r="3" spans="1:1" x14ac:dyDescent="0.25">
      <c r="A3">
        <v>50</v>
      </c>
    </row>
    <row r="4" spans="1:1" x14ac:dyDescent="0.25">
      <c r="A4">
        <v>55</v>
      </c>
    </row>
    <row r="5" spans="1:1" x14ac:dyDescent="0.25">
      <c r="A5">
        <v>62</v>
      </c>
    </row>
    <row r="6" spans="1:1" x14ac:dyDescent="0.25">
      <c r="A6">
        <v>67</v>
      </c>
    </row>
    <row r="7" spans="1:1" x14ac:dyDescent="0.25">
      <c r="A7">
        <v>70</v>
      </c>
    </row>
    <row r="8" spans="1:1" x14ac:dyDescent="0.25">
      <c r="A8">
        <v>74</v>
      </c>
    </row>
    <row r="9" spans="1:1" x14ac:dyDescent="0.25">
      <c r="A9">
        <v>80</v>
      </c>
    </row>
    <row r="10" spans="1:1" x14ac:dyDescent="0.25">
      <c r="A10">
        <v>87</v>
      </c>
    </row>
    <row r="11" spans="1:1" x14ac:dyDescent="0.25">
      <c r="A11">
        <v>88</v>
      </c>
    </row>
    <row r="12" spans="1:1" x14ac:dyDescent="0.25">
      <c r="A12">
        <v>90</v>
      </c>
    </row>
    <row r="13" spans="1:1" x14ac:dyDescent="0.25">
      <c r="A13">
        <v>100</v>
      </c>
    </row>
    <row r="25" spans="1:2" ht="19.5" x14ac:dyDescent="0.25">
      <c r="A25" s="11">
        <v>0</v>
      </c>
      <c r="B25" s="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8"/>
  <sheetViews>
    <sheetView workbookViewId="0"/>
  </sheetViews>
  <sheetFormatPr defaultRowHeight="16.5" x14ac:dyDescent="0.25"/>
  <sheetData>
    <row r="1" spans="1:8" x14ac:dyDescent="0.25">
      <c r="A1" t="s">
        <v>6</v>
      </c>
      <c r="B1" t="s">
        <v>6</v>
      </c>
      <c r="C1" t="s">
        <v>6</v>
      </c>
      <c r="D1" t="s">
        <v>6</v>
      </c>
      <c r="E1" t="s">
        <v>6</v>
      </c>
      <c r="F1" t="s">
        <v>6</v>
      </c>
      <c r="G1" t="s">
        <v>6</v>
      </c>
      <c r="H1" t="s">
        <v>6</v>
      </c>
    </row>
    <row r="2" spans="1:8" x14ac:dyDescent="0.25">
      <c r="B2" t="s">
        <v>6</v>
      </c>
      <c r="C2" t="s">
        <v>6</v>
      </c>
      <c r="D2" t="s">
        <v>6</v>
      </c>
      <c r="E2" t="s">
        <v>6</v>
      </c>
      <c r="F2" t="s">
        <v>6</v>
      </c>
      <c r="G2" t="s">
        <v>6</v>
      </c>
      <c r="H2" t="s">
        <v>6</v>
      </c>
    </row>
    <row r="3" spans="1:8" x14ac:dyDescent="0.25">
      <c r="C3" t="s">
        <v>6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8" x14ac:dyDescent="0.25">
      <c r="D4" t="s">
        <v>6</v>
      </c>
      <c r="E4" t="s">
        <v>6</v>
      </c>
      <c r="F4" t="s">
        <v>6</v>
      </c>
      <c r="G4" t="s">
        <v>6</v>
      </c>
      <c r="H4" t="s">
        <v>6</v>
      </c>
    </row>
    <row r="5" spans="1:8" x14ac:dyDescent="0.25">
      <c r="E5" t="s">
        <v>6</v>
      </c>
      <c r="F5" t="s">
        <v>6</v>
      </c>
      <c r="G5" t="s">
        <v>6</v>
      </c>
      <c r="H5" t="s">
        <v>6</v>
      </c>
    </row>
    <row r="6" spans="1:8" x14ac:dyDescent="0.25">
      <c r="F6" t="s">
        <v>6</v>
      </c>
      <c r="G6" t="s">
        <v>6</v>
      </c>
      <c r="H6" t="s">
        <v>6</v>
      </c>
    </row>
    <row r="7" spans="1:8" x14ac:dyDescent="0.25">
      <c r="G7" t="s">
        <v>6</v>
      </c>
      <c r="H7" t="s">
        <v>6</v>
      </c>
    </row>
    <row r="8" spans="1:8" x14ac:dyDescent="0.25">
      <c r="H8" t="s">
        <v>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工作表1</vt:lpstr>
      <vt:lpstr>工作表2</vt:lpstr>
      <vt:lpstr>工作表4</vt:lpstr>
      <vt:lpstr>工作表3</vt:lpstr>
    </vt:vector>
  </TitlesOfParts>
  <Company>SCU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SCU CC</dc:creator>
  <cp:lastModifiedBy>w</cp:lastModifiedBy>
  <dcterms:created xsi:type="dcterms:W3CDTF">2020-03-09T07:21:18Z</dcterms:created>
  <dcterms:modified xsi:type="dcterms:W3CDTF">2021-07-08T08:26:55Z</dcterms:modified>
</cp:coreProperties>
</file>